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le\Desktop\"/>
    </mc:Choice>
  </mc:AlternateContent>
  <xr:revisionPtr revIDLastSave="0" documentId="8_{2296C6C0-CBD9-442D-85F5-BB4A6DD3FC67}" xr6:coauthVersionLast="47" xr6:coauthVersionMax="47" xr10:uidLastSave="{00000000-0000-0000-0000-000000000000}"/>
  <bookViews>
    <workbookView xWindow="-120" yWindow="-120" windowWidth="20730" windowHeight="11310" xr2:uid="{937ABD22-A735-4AF5-B86D-23D19E20ADEF}"/>
  </bookViews>
  <sheets>
    <sheet name="Hoja1" sheetId="1" r:id="rId1"/>
  </sheet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purl.oclc.org/ooxml/spreadsheetml/main">
  <c r="B160" i="1" l="1"/>
  <c r="D160" i="1" s="1"/>
  <c r="F160" i="1" s="1"/>
  <c r="B148" i="1"/>
  <c r="B153" i="1" s="1"/>
  <c r="D153" i="1" s="1"/>
  <c r="B149" i="1"/>
  <c r="B154" i="1" s="1"/>
  <c r="D154" i="1" s="1"/>
  <c r="G147" i="1"/>
  <c r="B162" i="1" s="1"/>
  <c r="B167" i="1" s="1"/>
  <c r="D167" i="1" s="1"/>
  <c r="B134" i="1"/>
  <c r="D134" i="1" s="1"/>
  <c r="B133" i="1"/>
  <c r="D133" i="1" s="1"/>
  <c r="C130" i="1"/>
  <c r="C129" i="1"/>
  <c r="F127" i="1"/>
  <c r="F115" i="1"/>
  <c r="B135" i="1" s="1"/>
  <c r="D135" i="1" s="1"/>
  <c r="F114" i="1"/>
  <c r="F113" i="1"/>
  <c r="F112" i="1"/>
  <c r="B132" i="1" s="1"/>
  <c r="E64" i="1"/>
  <c r="E63" i="1"/>
  <c r="E65" i="1" s="1"/>
  <c r="E69" i="1" s="1"/>
  <c r="E51" i="1"/>
  <c r="E52" i="1"/>
  <c r="E40" i="1"/>
  <c r="E41" i="1" s="1"/>
  <c r="E45" i="1" s="1"/>
  <c r="D132" i="1" l="1"/>
  <c r="D137" i="1" s="1"/>
  <c r="E132" i="1" s="1"/>
  <c r="B137" i="1"/>
  <c r="D138" i="1" s="1"/>
  <c r="B151" i="1"/>
  <c r="B161" i="1"/>
  <c r="B166" i="1" s="1"/>
  <c r="D166" i="1" s="1"/>
  <c r="D148" i="1"/>
  <c r="F148" i="1" s="1"/>
  <c r="D149" i="1"/>
  <c r="F149" i="1" s="1"/>
  <c r="B165" i="1"/>
  <c r="D165" i="1" s="1"/>
  <c r="B163" i="1"/>
  <c r="B168" i="1" s="1"/>
  <c r="D168" i="1" s="1"/>
  <c r="B150" i="1"/>
  <c r="D161" i="1"/>
  <c r="F161" i="1" s="1"/>
  <c r="D162" i="1"/>
  <c r="F162" i="1" s="1"/>
  <c r="E53" i="1"/>
  <c r="E57" i="1" s="1"/>
  <c r="B156" i="1" l="1"/>
  <c r="D156" i="1" s="1"/>
  <c r="D151" i="1"/>
  <c r="F151" i="1" s="1"/>
  <c r="B155" i="1"/>
  <c r="D155" i="1" s="1"/>
  <c r="D150" i="1"/>
  <c r="F150" i="1" s="1"/>
  <c r="D163" i="1"/>
  <c r="F163" i="1" s="1"/>
  <c r="E133" i="1"/>
  <c r="F133" i="1" s="1"/>
  <c r="F132" i="1"/>
  <c r="E135" i="1"/>
  <c r="F135" i="1" s="1"/>
  <c r="E134" i="1"/>
  <c r="F134" i="1" s="1"/>
  <c r="F137" i="1" l="1"/>
  <c r="E137" i="1"/>
</calcChain>
</file>

<file path=xl/sharedStrings.xml><?xml version="1.0" encoding="utf-8"?>
<sst xmlns="http://purl.oclc.org/ooxml/spreadsheetml/main" count="220" uniqueCount="165">
  <si>
    <t>DISEÑO ESTRUCTURAL</t>
  </si>
  <si>
    <t>PLANTA BAJA COMERCIAL</t>
  </si>
  <si>
    <t>PRIMER PISO OFICINAS</t>
  </si>
  <si>
    <t>SEGUNDO PISO APARTAMENTOS</t>
  </si>
  <si>
    <t>CUARTO PISO APARTAMENTOS</t>
  </si>
  <si>
    <t>TERRAZA VISITABLE</t>
  </si>
  <si>
    <t>SE TRATA DE DISEÑAR UNA EDIFICACION DE CUATRO NIVELES</t>
  </si>
  <si>
    <t xml:space="preserve">LOS EJES DE LA PLANTA DE ARQUITECTURA SON: </t>
  </si>
  <si>
    <t>DIRECCIÓN X 4,50; 6,00; 6,00: 5</t>
  </si>
  <si>
    <t>Dirección y 5,00; 7,00; 5,00;  6,00</t>
  </si>
  <si>
    <t>Las Vigas en la Dirección X serán L/20 = 600/20=30 usaremos 30 x 40</t>
  </si>
  <si>
    <t>Las Vigas en la Dirección y serán L/20 = 00/20=35 usaremos 30 x 40</t>
  </si>
  <si>
    <t>Las cargas qe actuan sobre la estructura son</t>
  </si>
  <si>
    <t>Techo: Terraza visitable</t>
  </si>
  <si>
    <t>Cargas permanentes</t>
  </si>
  <si>
    <t>Asumiendo una consideración parecida para las Losas nervadas</t>
  </si>
  <si>
    <t>podemos asumir una altura de losa de 600/20 = 30 usaremos 25</t>
  </si>
  <si>
    <t>Losa nervada de 25 cm</t>
  </si>
  <si>
    <t>Kg/m2</t>
  </si>
  <si>
    <t>Acabado de techo  (Ceramica)</t>
  </si>
  <si>
    <t>Friso inferior (0,02 x 1800 Kg/m3)</t>
  </si>
  <si>
    <t>Cargas Variables</t>
  </si>
  <si>
    <t>Azotea con acceso</t>
  </si>
  <si>
    <t xml:space="preserve">En estructuras de Concreto se deben mayorar las cargas </t>
  </si>
  <si>
    <t>Q= 1,20 CP + 1,6 CV</t>
  </si>
  <si>
    <t>Entrepisos 3 y 2</t>
  </si>
  <si>
    <t>Tabiquerias</t>
  </si>
  <si>
    <t>Acabado de pisos (ceramica)</t>
  </si>
  <si>
    <t>Apartamentos</t>
  </si>
  <si>
    <t>Entrepiso 1</t>
  </si>
  <si>
    <t>Oficinas</t>
  </si>
  <si>
    <r>
      <t>Con estas cargas vamos a diseñar las Columnas   Ac = P/</t>
    </r>
    <r>
      <rPr>
        <sz val="11"/>
        <color theme="1"/>
        <rFont val="Calibri"/>
        <family val="2"/>
      </rPr>
      <t>α f´c</t>
    </r>
  </si>
  <si>
    <t xml:space="preserve">Siempre debemos verificar la Columna mas cargada, en nuestro caso es la </t>
  </si>
  <si>
    <t>Columna Central cuya area tributaria es (7+5)/2 *(6+6)/2 = 6 x 6= 36 m2</t>
  </si>
  <si>
    <t>La carga del techo sobre la Columna es  36 m2 * 821,20 Kg/m2 = 29563,20 Kg</t>
  </si>
  <si>
    <t>y el área de la Columna será : 29563,2 Kg/ (0,28 x 250 Kg/cm2 ) = 422,33 Cm2</t>
  </si>
  <si>
    <t>pudiera ser 20 x 25 = 500 cm2 pero la Noma me dice que el mínimo es 30 x 30</t>
  </si>
  <si>
    <t>Columnas del último nivel 30 x 30 Cms</t>
  </si>
  <si>
    <t>Techo</t>
  </si>
  <si>
    <t>Entrepiso Tres</t>
  </si>
  <si>
    <t>La carga del Entrepiso sobre la Columna es  36 m2 * 1,037,20 Kg/m2 = 37,339,20 Kg</t>
  </si>
  <si>
    <t>En Consecuencia la carga real será 29563,2+37,339,20 = 66902,4 Kg</t>
  </si>
  <si>
    <t>Ahora bien esa Columna sopoRta Ademas la carga por encima de ella</t>
  </si>
  <si>
    <t>y el área de la Columna 66902, Kg/ (0,28 x 250 Kg/cm2 ) = 955 Cm2</t>
  </si>
  <si>
    <t>Si matenemos una cara de 30 cm tendremos un largo de 40 quedando 30 x 40 = 1200 Cm2</t>
  </si>
  <si>
    <t>En Consecuencia la carga real será 29563,2+ 2* (37,339,20 ) = 104242,20 Kg</t>
  </si>
  <si>
    <t>y el área de la Columna 104242,2Kg/ (0,28 x 250 Kg/cm2 ) = 1489 Cm2</t>
  </si>
  <si>
    <t>Si matenemos una cara de 30 cm tendremos un largo de 50 quedando 30 x 50 = 1500 Cm2</t>
  </si>
  <si>
    <t>Entrepiso Dos</t>
  </si>
  <si>
    <t>Entrepiso Uno</t>
  </si>
  <si>
    <t>La carga del Entrepiso sobre la Columna es  36 m2 * 1,157,20 Kg/m2 = 41659,20 Kg</t>
  </si>
  <si>
    <t>En Consecuencia la carga real será 29563,2+ 2* (37,339,20 )+ 41659,2 Kg=145901,4 Kg</t>
  </si>
  <si>
    <t>y el área de la Columna 145901,4Kg/ (0,28 x 250 Kg/cm2 ) =  2084,3Cm2</t>
  </si>
  <si>
    <t>Si matenemos una cara de 30 cm tendremos un largo de 70 quedando 30 x 70 = 2100 Cm2</t>
  </si>
  <si>
    <t>Ahora bien veamos esta Columna con mas cuidado estamos reduciendo de 70 a 50 para</t>
  </si>
  <si>
    <t>el otro piso y esto no permite un buen desarrollo de las cabillas de la Columna liego</t>
  </si>
  <si>
    <t>lo mejor será aumenta el ancho a 40 y el largo a 60 esto da 2400 cm2</t>
  </si>
  <si>
    <t>hasta aquí el predimensionado de la estructura</t>
  </si>
  <si>
    <t>ahora vamos con el Analisis sismico para verificar la desplazabilidad de la estructura</t>
  </si>
  <si>
    <t xml:space="preserve">La Norma 1756-2021 nos indica que para el analísis sísmico solo utilizamos el 15% de la </t>
  </si>
  <si>
    <t>Entonces la carga por piso será</t>
  </si>
  <si>
    <t xml:space="preserve">Techo </t>
  </si>
  <si>
    <t>carga viva  sin mayorar</t>
  </si>
  <si>
    <t>451 + 0,15 * 175 =</t>
  </si>
  <si>
    <t>631 + 0,15 * 175 =</t>
  </si>
  <si>
    <t>631 + 0,15 * 250 =</t>
  </si>
  <si>
    <t>Ahora vamos a realizar la revisión de la Norma para hallar ls parametros del Coeficiente de</t>
  </si>
  <si>
    <t>Sismo "C"</t>
  </si>
  <si>
    <t>para ello debemos realizar lo siguiente :</t>
  </si>
  <si>
    <t>Buscar en la Norma el Valor de la aceleración horizontal del terreno, esto esta indicado en</t>
  </si>
  <si>
    <t>el primer mapa de Venezuela en Higuerote A0 = 0,30</t>
  </si>
  <si>
    <t>Ahor vamos con las caracteísticas del terreno si es bueno S1, regular S2, malo S3 con estas</t>
  </si>
  <si>
    <r>
      <t xml:space="preserve">variables podemos definir los valores de </t>
    </r>
    <r>
      <rPr>
        <sz val="11"/>
        <color theme="1"/>
        <rFont val="Calibri"/>
        <family val="2"/>
      </rPr>
      <t>β y To  en este caso β = 2,40</t>
    </r>
  </si>
  <si>
    <r>
      <t>y To lo podemos aproximar a T* = h</t>
    </r>
    <r>
      <rPr>
        <sz val="11"/>
        <color theme="1"/>
        <rFont val="Calibri"/>
        <family val="2"/>
      </rPr>
      <t>ʌ0,75 = potencia(12;0,75)</t>
    </r>
    <r>
      <rPr>
        <sz val="11"/>
        <color theme="1"/>
        <rFont val="Calibri"/>
        <family val="2"/>
        <scheme val="minor"/>
      </rPr>
      <t>= 6,47</t>
    </r>
  </si>
  <si>
    <r>
      <t xml:space="preserve">Factor de importancia </t>
    </r>
    <r>
      <rPr>
        <sz val="11"/>
        <color theme="1"/>
        <rFont val="Calibri"/>
        <family val="2"/>
      </rPr>
      <t>α = 1</t>
    </r>
  </si>
  <si>
    <t>Factor de reduccion de respuesta ND# = 6</t>
  </si>
  <si>
    <r>
      <t xml:space="preserve">El coeficiente Ad del sismo es </t>
    </r>
    <r>
      <rPr>
        <sz val="11"/>
        <color theme="1"/>
        <rFont val="Calibri"/>
        <family val="2"/>
      </rPr>
      <t>αβAo/R = 1*2,4*0,30/6 =</t>
    </r>
    <r>
      <rPr>
        <sz val="11"/>
        <color theme="1"/>
        <rFont val="Calibri"/>
        <family val="2"/>
        <scheme val="minor"/>
      </rPr>
      <t xml:space="preserve">   Ad =</t>
    </r>
  </si>
  <si>
    <r>
      <t xml:space="preserve">Ahora con respcto a la altura </t>
    </r>
    <r>
      <rPr>
        <sz val="11"/>
        <color theme="1"/>
        <rFont val="Calibri"/>
        <family val="2"/>
      </rPr>
      <t xml:space="preserve">μ = </t>
    </r>
    <r>
      <rPr>
        <sz val="11"/>
        <color theme="1"/>
        <rFont val="Calibri"/>
        <family val="2"/>
        <scheme val="minor"/>
      </rPr>
      <t xml:space="preserve">1,40*(n+9/(2n+12))=  </t>
    </r>
    <r>
      <rPr>
        <sz val="11"/>
        <color theme="1"/>
        <rFont val="Calibri"/>
        <family val="2"/>
      </rPr>
      <t xml:space="preserve">μ= </t>
    </r>
  </si>
  <si>
    <r>
      <t xml:space="preserve">C = </t>
    </r>
    <r>
      <rPr>
        <sz val="11"/>
        <color theme="1"/>
        <rFont val="Calibri"/>
        <family val="2"/>
      </rPr>
      <t>μ Ad = 0,91 * 0,12 =</t>
    </r>
  </si>
  <si>
    <t>Wi</t>
  </si>
  <si>
    <t>Nivel</t>
  </si>
  <si>
    <t>Piso 2</t>
  </si>
  <si>
    <t>Piso 1</t>
  </si>
  <si>
    <t xml:space="preserve">Planta Baja </t>
  </si>
  <si>
    <t>hi</t>
  </si>
  <si>
    <t>Wihi</t>
  </si>
  <si>
    <r>
      <t>Wi/</t>
    </r>
    <r>
      <rPr>
        <sz val="11"/>
        <color theme="1"/>
        <rFont val="Calibri"/>
        <family val="2"/>
      </rPr>
      <t>Σwihi</t>
    </r>
  </si>
  <si>
    <t>Fi</t>
  </si>
  <si>
    <t>Area del Edificio =</t>
  </si>
  <si>
    <t>m2</t>
  </si>
  <si>
    <t xml:space="preserve">Vo = C x W = </t>
  </si>
  <si>
    <t>0,1092 x 1322384,38 =</t>
  </si>
  <si>
    <t>Sumatorias</t>
  </si>
  <si>
    <t>Ahora bién estas Fi se reparten proporcionalmente a las rigideces de cada Portico</t>
  </si>
  <si>
    <t>Veamos como:</t>
  </si>
  <si>
    <t>Podriamos calcular las Rigideces de cada Portico en función de las rigideces de sus Vigas y</t>
  </si>
  <si>
    <t>Columnas, para ello podemos utilizar el metodo de Myto o el de Wilburg</t>
  </si>
  <si>
    <t>cCon el metodo de MUTO o el de WILBURG siempre deberas ver en que sentido X u Y estas</t>
  </si>
  <si>
    <t xml:space="preserve">trabajando, okey hagamoslo en Dirección X </t>
  </si>
  <si>
    <t>Direccion X</t>
  </si>
  <si>
    <t>Direcciób Y</t>
  </si>
  <si>
    <t>En Dirección X todas mis Vigas tienen la siguiente Rigidez K = I/L</t>
  </si>
  <si>
    <t>calculemos las rigideces de las Columnas del Eje A</t>
  </si>
  <si>
    <r>
      <t>I = 30 *40</t>
    </r>
    <r>
      <rPr>
        <sz val="11"/>
        <color theme="1"/>
        <rFont val="Calibri"/>
        <family val="2"/>
      </rPr>
      <t>³ /12 =</t>
    </r>
    <r>
      <rPr>
        <sz val="11"/>
        <color theme="1"/>
        <rFont val="Calibri"/>
        <family val="2"/>
        <scheme val="minor"/>
      </rPr>
      <t xml:space="preserve"> cm4</t>
    </r>
  </si>
  <si>
    <t>A</t>
  </si>
  <si>
    <t>B</t>
  </si>
  <si>
    <t>C</t>
  </si>
  <si>
    <t>D</t>
  </si>
  <si>
    <t>E</t>
  </si>
  <si>
    <t>Viga A (1-2)</t>
  </si>
  <si>
    <t>Viga A (2-3)</t>
  </si>
  <si>
    <t>Viga A (3-4)</t>
  </si>
  <si>
    <t>Viga A (4-5)</t>
  </si>
  <si>
    <t>Viga B (1-2)</t>
  </si>
  <si>
    <t>Viga B (2-3)</t>
  </si>
  <si>
    <t>Viga B (3-4)</t>
  </si>
  <si>
    <t>Viga B (4-5)</t>
  </si>
  <si>
    <t>Viga C (1-2)</t>
  </si>
  <si>
    <t>Viga C (2-3)</t>
  </si>
  <si>
    <t>Viga C (3-4)</t>
  </si>
  <si>
    <t>Viga C (4-5)</t>
  </si>
  <si>
    <t>Viga D (1-2)</t>
  </si>
  <si>
    <t>Viga D (2-3)</t>
  </si>
  <si>
    <t>Viga D (3-4)</t>
  </si>
  <si>
    <t>Viga D (4-5)</t>
  </si>
  <si>
    <t>Viga E (1-2)</t>
  </si>
  <si>
    <t>Viga E (2-3)</t>
  </si>
  <si>
    <t>Viga E (3-4)</t>
  </si>
  <si>
    <t>Viga E (4-5)</t>
  </si>
  <si>
    <t xml:space="preserve">Bueno ya tenemos las Rigideces de la Vigas en Dirección X </t>
  </si>
  <si>
    <t>Ahora vamos con la misma cosa pero en Direccion Y</t>
  </si>
  <si>
    <t>Viga 1 (A-B)</t>
  </si>
  <si>
    <t>Viga 2 (A-B)</t>
  </si>
  <si>
    <t>Viga 3 (A-B)</t>
  </si>
  <si>
    <t>Viga 2 (B-C)</t>
  </si>
  <si>
    <t>Viga 3 (C-D)</t>
  </si>
  <si>
    <t>Viga 4 (D-E)</t>
  </si>
  <si>
    <t>Viga 1 (B-C)</t>
  </si>
  <si>
    <t>Viga 1 (C-D)</t>
  </si>
  <si>
    <t>Viga 1 (D-E)</t>
  </si>
  <si>
    <t>Viga 2 (C-D)</t>
  </si>
  <si>
    <t>Viga 2 (D-E)</t>
  </si>
  <si>
    <t>Viga 3 (D-E)</t>
  </si>
  <si>
    <t>Viga 3 (B-C)</t>
  </si>
  <si>
    <t>Viga 4 (A-B)</t>
  </si>
  <si>
    <t>Viga 4 (B-C)</t>
  </si>
  <si>
    <t>Viga 4 (C-D)</t>
  </si>
  <si>
    <t>Viga 5 (A-B)</t>
  </si>
  <si>
    <t>Viga 5 (B-C)</t>
  </si>
  <si>
    <t>Viga 5 (C-D)</t>
  </si>
  <si>
    <t>Viga 5 (D-E)</t>
  </si>
  <si>
    <t>Ahora vamos a aplicar MUTO en las Columnas</t>
  </si>
  <si>
    <t>Viga A(1-2)</t>
  </si>
  <si>
    <t>Viga A(2-3)</t>
  </si>
  <si>
    <t>Col 1A</t>
  </si>
  <si>
    <t>Col 2A</t>
  </si>
  <si>
    <t>Col 3A</t>
  </si>
  <si>
    <t>Col 4A</t>
  </si>
  <si>
    <t>Col 5A</t>
  </si>
  <si>
    <t>Viga A(3-4)</t>
  </si>
  <si>
    <t>Viga A(4-5)</t>
  </si>
  <si>
    <t>TECHO</t>
  </si>
  <si>
    <t>PISO 2</t>
  </si>
  <si>
    <t>PISO 1</t>
  </si>
  <si>
    <t>Planta Baja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</si>
</sst>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start/>
      <end/>
      <top/>
      <bottom/>
      <diagonal/>
    </border>
    <border>
      <start style="thin">
        <color auto="1"/>
      </start>
      <end style="thin">
        <color auto="1"/>
      </end>
      <top style="thin">
        <color auto="1"/>
      </top>
      <bottom/>
      <diagonal/>
    </border>
    <border>
      <start style="thin">
        <color auto="1"/>
      </start>
      <end style="thin">
        <color auto="1"/>
      </end>
      <top/>
      <bottom/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/>
      <top/>
      <bottom style="thin">
        <color auto="1"/>
      </bottom>
      <diagonal/>
    </border>
    <border>
      <start style="thin">
        <color auto="1"/>
      </start>
      <end/>
      <top/>
      <bottom/>
      <diagonal/>
    </border>
    <border>
      <start style="thin">
        <color auto="1"/>
      </start>
      <end/>
      <top style="thin">
        <color auto="1"/>
      </top>
      <bottom style="thin">
        <color auto="1"/>
      </bottom>
      <diagonal/>
    </border>
    <border>
      <start/>
      <end/>
      <top style="thin">
        <color auto="1"/>
      </top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676275</xdr:colOff>
      <xdr:row>18</xdr:row>
      <xdr:rowOff>114300</xdr:rowOff>
    </xdr:from>
    <xdr:to>
      <xdr:col>3</xdr:col>
      <xdr:colOff>95250</xdr:colOff>
      <xdr:row>19</xdr:row>
      <xdr:rowOff>95250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7A428DA-4AEC-4C69-969B-1C416A4EFCBD}"/>
            </a:ext>
          </a:extLst>
        </xdr:cNvPr>
        <xdr:cNvSpPr/>
      </xdr:nvSpPr>
      <xdr:spPr>
        <a:xfrm>
          <a:off x="2200275" y="3543300"/>
          <a:ext cx="180975" cy="17145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247F-05D6-4B20-8272-A1A17D9A6302}">
  <dimension ref="A1:G196"/>
  <sheetViews>
    <sheetView tabSelected="1" topLeftCell="A169" workbookViewId="0">
      <selection activeCell="D200" sqref="D200"/>
    </sheetView>
  </sheetViews>
  <sheetFormatPr baseColWidth="10" defaultRowHeight="15" x14ac:dyDescent="0.25"/>
  <cols>
    <col min="2" max="2" width="11.7109375" bestFit="1" customWidth="1"/>
    <col min="4" max="4" width="11.7109375" bestFit="1" customWidth="1"/>
    <col min="6" max="6" width="11.7109375" bestFit="1" customWidth="1"/>
  </cols>
  <sheetData>
    <row r="1" spans="1:5" x14ac:dyDescent="0.25">
      <c r="A1" t="s">
        <v>0</v>
      </c>
    </row>
    <row r="2" spans="1:5" x14ac:dyDescent="0.25">
      <c r="A2" t="s">
        <v>6</v>
      </c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6" spans="1:5" x14ac:dyDescent="0.25">
      <c r="A6" t="s">
        <v>4</v>
      </c>
    </row>
    <row r="7" spans="1:5" x14ac:dyDescent="0.25">
      <c r="A7" t="s">
        <v>5</v>
      </c>
    </row>
    <row r="8" spans="1:5" x14ac:dyDescent="0.25">
      <c r="A8" t="s">
        <v>7</v>
      </c>
    </row>
    <row r="9" spans="1:5" x14ac:dyDescent="0.25">
      <c r="A9" t="s">
        <v>8</v>
      </c>
    </row>
    <row r="10" spans="1:5" x14ac:dyDescent="0.25">
      <c r="A10" t="s">
        <v>9</v>
      </c>
    </row>
    <row r="11" spans="1:5" x14ac:dyDescent="0.25">
      <c r="A11" s="10" t="s">
        <v>100</v>
      </c>
      <c r="B11" s="4">
        <v>4.5</v>
      </c>
      <c r="C11" s="4">
        <v>6</v>
      </c>
      <c r="D11" s="4">
        <v>6</v>
      </c>
      <c r="E11" s="4">
        <v>5</v>
      </c>
    </row>
    <row r="12" spans="1:5" x14ac:dyDescent="0.25">
      <c r="A12" s="10" t="s">
        <v>108</v>
      </c>
      <c r="B12" s="1"/>
      <c r="C12" s="1"/>
      <c r="D12" s="1"/>
      <c r="E12" s="1"/>
    </row>
    <row r="13" spans="1:5" x14ac:dyDescent="0.25">
      <c r="A13" s="4">
        <v>5</v>
      </c>
      <c r="B13" s="2"/>
      <c r="C13" s="2"/>
      <c r="D13" s="2"/>
      <c r="E13" s="2"/>
    </row>
    <row r="14" spans="1:5" x14ac:dyDescent="0.25">
      <c r="A14" s="4"/>
      <c r="B14" s="2"/>
      <c r="C14" s="2"/>
      <c r="D14" s="2"/>
      <c r="E14" s="2"/>
    </row>
    <row r="15" spans="1:5" x14ac:dyDescent="0.25">
      <c r="A15" s="10" t="s">
        <v>107</v>
      </c>
      <c r="B15" s="3"/>
      <c r="C15" s="3"/>
      <c r="D15" s="3"/>
      <c r="E15" s="3"/>
    </row>
    <row r="16" spans="1:5" x14ac:dyDescent="0.25">
      <c r="A16" s="4"/>
      <c r="B16" s="1"/>
      <c r="C16" s="1"/>
      <c r="D16" s="1"/>
      <c r="E16" s="1"/>
    </row>
    <row r="17" spans="1:6" x14ac:dyDescent="0.25">
      <c r="A17" s="4"/>
      <c r="B17" s="2"/>
      <c r="C17" s="2"/>
      <c r="D17" s="2"/>
      <c r="E17" s="2"/>
    </row>
    <row r="18" spans="1:6" x14ac:dyDescent="0.25">
      <c r="A18" s="4">
        <v>7</v>
      </c>
      <c r="B18" s="2"/>
      <c r="C18" s="2"/>
      <c r="D18" s="2"/>
      <c r="E18" s="2"/>
    </row>
    <row r="19" spans="1:6" x14ac:dyDescent="0.25">
      <c r="A19" s="10" t="s">
        <v>106</v>
      </c>
      <c r="B19" s="3"/>
      <c r="C19" s="3"/>
      <c r="D19" s="3"/>
      <c r="E19" s="3"/>
    </row>
    <row r="20" spans="1:6" x14ac:dyDescent="0.25">
      <c r="A20" s="4"/>
      <c r="B20" s="1"/>
      <c r="C20" s="1"/>
      <c r="D20" s="1"/>
      <c r="E20" s="1"/>
    </row>
    <row r="21" spans="1:6" x14ac:dyDescent="0.25">
      <c r="A21" s="4"/>
      <c r="B21" s="2"/>
      <c r="C21" s="2"/>
      <c r="D21" s="2"/>
      <c r="E21" s="2"/>
    </row>
    <row r="22" spans="1:6" x14ac:dyDescent="0.25">
      <c r="A22" s="4">
        <v>5</v>
      </c>
      <c r="B22" s="2"/>
      <c r="C22" s="2"/>
      <c r="D22" s="2"/>
      <c r="E22" s="2"/>
    </row>
    <row r="23" spans="1:6" x14ac:dyDescent="0.25">
      <c r="A23" s="10" t="s">
        <v>105</v>
      </c>
      <c r="B23" s="3"/>
      <c r="C23" s="3"/>
      <c r="D23" s="3"/>
      <c r="E23" s="3"/>
    </row>
    <row r="24" spans="1:6" x14ac:dyDescent="0.25">
      <c r="A24" s="4"/>
      <c r="B24" s="1"/>
      <c r="C24" s="1"/>
      <c r="D24" s="1"/>
      <c r="E24" s="1"/>
    </row>
    <row r="25" spans="1:6" x14ac:dyDescent="0.25">
      <c r="A25" s="4"/>
      <c r="B25" s="2"/>
      <c r="C25" s="2"/>
      <c r="D25" s="2"/>
      <c r="E25" s="2"/>
    </row>
    <row r="26" spans="1:6" x14ac:dyDescent="0.25">
      <c r="A26" s="4">
        <v>6</v>
      </c>
      <c r="B26" s="2"/>
      <c r="C26" s="2"/>
      <c r="D26" s="2"/>
      <c r="E26" s="2"/>
    </row>
    <row r="27" spans="1:6" x14ac:dyDescent="0.25">
      <c r="A27" s="10" t="s">
        <v>104</v>
      </c>
      <c r="B27" s="3"/>
      <c r="C27" s="3"/>
      <c r="D27" s="3"/>
      <c r="E27" s="3"/>
      <c r="F27" t="s">
        <v>99</v>
      </c>
    </row>
    <row r="28" spans="1:6" x14ac:dyDescent="0.25">
      <c r="A28">
        <v>1</v>
      </c>
      <c r="B28">
        <v>2</v>
      </c>
      <c r="C28">
        <v>3</v>
      </c>
      <c r="D28">
        <v>4</v>
      </c>
      <c r="E28">
        <v>5</v>
      </c>
    </row>
    <row r="29" spans="1:6" x14ac:dyDescent="0.25">
      <c r="A29" t="s">
        <v>10</v>
      </c>
    </row>
    <row r="31" spans="1:6" x14ac:dyDescent="0.25">
      <c r="A31" t="s">
        <v>11</v>
      </c>
    </row>
    <row r="33" spans="1:6" x14ac:dyDescent="0.25">
      <c r="A33" t="s">
        <v>15</v>
      </c>
    </row>
    <row r="34" spans="1:6" x14ac:dyDescent="0.25">
      <c r="A34" t="s">
        <v>16</v>
      </c>
    </row>
    <row r="35" spans="1:6" x14ac:dyDescent="0.25">
      <c r="A35" t="s">
        <v>12</v>
      </c>
    </row>
    <row r="36" spans="1:6" x14ac:dyDescent="0.25">
      <c r="A36" t="s">
        <v>13</v>
      </c>
    </row>
    <row r="37" spans="1:6" x14ac:dyDescent="0.25">
      <c r="A37" t="s">
        <v>14</v>
      </c>
    </row>
    <row r="38" spans="1:6" x14ac:dyDescent="0.25">
      <c r="A38" t="s">
        <v>17</v>
      </c>
      <c r="E38" s="4">
        <v>315</v>
      </c>
      <c r="F38" t="s">
        <v>18</v>
      </c>
    </row>
    <row r="39" spans="1:6" x14ac:dyDescent="0.25">
      <c r="A39" t="s">
        <v>19</v>
      </c>
      <c r="E39" s="4">
        <v>100</v>
      </c>
      <c r="F39" t="s">
        <v>18</v>
      </c>
    </row>
    <row r="40" spans="1:6" x14ac:dyDescent="0.25">
      <c r="A40" t="s">
        <v>20</v>
      </c>
      <c r="E40" s="5">
        <f>1800*0.02</f>
        <v>36</v>
      </c>
      <c r="F40" t="s">
        <v>18</v>
      </c>
    </row>
    <row r="41" spans="1:6" x14ac:dyDescent="0.25">
      <c r="E41" s="4">
        <f>SUM(E38:E40)</f>
        <v>451</v>
      </c>
      <c r="F41" t="s">
        <v>18</v>
      </c>
    </row>
    <row r="42" spans="1:6" x14ac:dyDescent="0.25">
      <c r="A42" t="s">
        <v>21</v>
      </c>
    </row>
    <row r="43" spans="1:6" x14ac:dyDescent="0.25">
      <c r="A43" t="s">
        <v>22</v>
      </c>
      <c r="E43" s="4">
        <v>175</v>
      </c>
      <c r="F43" t="s">
        <v>18</v>
      </c>
    </row>
    <row r="44" spans="1:6" x14ac:dyDescent="0.25">
      <c r="A44" t="s">
        <v>23</v>
      </c>
    </row>
    <row r="45" spans="1:6" x14ac:dyDescent="0.25">
      <c r="A45" t="s">
        <v>24</v>
      </c>
      <c r="E45" s="6">
        <f>1.2*E41+1.6*E43</f>
        <v>821.19999999999993</v>
      </c>
      <c r="F45" t="s">
        <v>18</v>
      </c>
    </row>
    <row r="47" spans="1:6" x14ac:dyDescent="0.25">
      <c r="A47" t="s">
        <v>25</v>
      </c>
    </row>
    <row r="48" spans="1:6" x14ac:dyDescent="0.25">
      <c r="A48" t="s">
        <v>14</v>
      </c>
    </row>
    <row r="49" spans="1:6" x14ac:dyDescent="0.25">
      <c r="A49" t="s">
        <v>17</v>
      </c>
      <c r="E49" s="4">
        <v>315</v>
      </c>
      <c r="F49" t="s">
        <v>18</v>
      </c>
    </row>
    <row r="50" spans="1:6" x14ac:dyDescent="0.25">
      <c r="A50" t="s">
        <v>26</v>
      </c>
      <c r="E50" s="4">
        <v>180</v>
      </c>
      <c r="F50" t="s">
        <v>18</v>
      </c>
    </row>
    <row r="51" spans="1:6" x14ac:dyDescent="0.25">
      <c r="A51" t="s">
        <v>27</v>
      </c>
      <c r="E51" s="4">
        <f>100</f>
        <v>100</v>
      </c>
    </row>
    <row r="52" spans="1:6" x14ac:dyDescent="0.25">
      <c r="A52" t="s">
        <v>20</v>
      </c>
      <c r="E52" s="5">
        <f>1800*0.02</f>
        <v>36</v>
      </c>
      <c r="F52" t="s">
        <v>18</v>
      </c>
    </row>
    <row r="53" spans="1:6" x14ac:dyDescent="0.25">
      <c r="E53" s="4">
        <f>SUM(E49:E52)</f>
        <v>631</v>
      </c>
      <c r="F53" t="s">
        <v>18</v>
      </c>
    </row>
    <row r="54" spans="1:6" x14ac:dyDescent="0.25">
      <c r="A54" t="s">
        <v>21</v>
      </c>
    </row>
    <row r="55" spans="1:6" x14ac:dyDescent="0.25">
      <c r="A55" t="s">
        <v>28</v>
      </c>
      <c r="E55" s="4">
        <v>175</v>
      </c>
      <c r="F55" t="s">
        <v>18</v>
      </c>
    </row>
    <row r="56" spans="1:6" x14ac:dyDescent="0.25">
      <c r="A56" t="s">
        <v>23</v>
      </c>
    </row>
    <row r="57" spans="1:6" x14ac:dyDescent="0.25">
      <c r="A57" t="s">
        <v>24</v>
      </c>
      <c r="E57" s="6">
        <f>1.2*E53+1.6*E55</f>
        <v>1037.1999999999998</v>
      </c>
      <c r="F57" t="s">
        <v>18</v>
      </c>
    </row>
    <row r="59" spans="1:6" x14ac:dyDescent="0.25">
      <c r="A59" t="s">
        <v>29</v>
      </c>
    </row>
    <row r="60" spans="1:6" x14ac:dyDescent="0.25">
      <c r="A60" t="s">
        <v>14</v>
      </c>
    </row>
    <row r="61" spans="1:6" x14ac:dyDescent="0.25">
      <c r="A61" t="s">
        <v>17</v>
      </c>
      <c r="E61" s="4">
        <v>315</v>
      </c>
      <c r="F61" t="s">
        <v>18</v>
      </c>
    </row>
    <row r="62" spans="1:6" x14ac:dyDescent="0.25">
      <c r="A62" t="s">
        <v>26</v>
      </c>
      <c r="E62" s="4">
        <v>180</v>
      </c>
      <c r="F62" t="s">
        <v>18</v>
      </c>
    </row>
    <row r="63" spans="1:6" x14ac:dyDescent="0.25">
      <c r="A63" t="s">
        <v>27</v>
      </c>
      <c r="E63" s="4">
        <f>100</f>
        <v>100</v>
      </c>
    </row>
    <row r="64" spans="1:6" x14ac:dyDescent="0.25">
      <c r="A64" t="s">
        <v>20</v>
      </c>
      <c r="E64" s="5">
        <f>1800*0.02</f>
        <v>36</v>
      </c>
      <c r="F64" t="s">
        <v>18</v>
      </c>
    </row>
    <row r="65" spans="1:6" x14ac:dyDescent="0.25">
      <c r="E65" s="4">
        <f>SUM(E61:E64)</f>
        <v>631</v>
      </c>
      <c r="F65" t="s">
        <v>18</v>
      </c>
    </row>
    <row r="66" spans="1:6" x14ac:dyDescent="0.25">
      <c r="A66" t="s">
        <v>21</v>
      </c>
    </row>
    <row r="67" spans="1:6" x14ac:dyDescent="0.25">
      <c r="A67" t="s">
        <v>30</v>
      </c>
      <c r="E67" s="4">
        <v>250</v>
      </c>
      <c r="F67" t="s">
        <v>18</v>
      </c>
    </row>
    <row r="68" spans="1:6" x14ac:dyDescent="0.25">
      <c r="A68" t="s">
        <v>23</v>
      </c>
    </row>
    <row r="69" spans="1:6" x14ac:dyDescent="0.25">
      <c r="A69" t="s">
        <v>24</v>
      </c>
      <c r="E69" s="6">
        <f>1.2*E65+1.6*E67</f>
        <v>1157.1999999999998</v>
      </c>
      <c r="F69" t="s">
        <v>18</v>
      </c>
    </row>
    <row r="71" spans="1:6" x14ac:dyDescent="0.25">
      <c r="A71" t="s">
        <v>31</v>
      </c>
    </row>
    <row r="72" spans="1:6" x14ac:dyDescent="0.25">
      <c r="A72" t="s">
        <v>32</v>
      </c>
    </row>
    <row r="73" spans="1:6" x14ac:dyDescent="0.25">
      <c r="A73" t="s">
        <v>33</v>
      </c>
    </row>
    <row r="75" spans="1:6" x14ac:dyDescent="0.25">
      <c r="A75" t="s">
        <v>38</v>
      </c>
    </row>
    <row r="76" spans="1:6" x14ac:dyDescent="0.25">
      <c r="A76" t="s">
        <v>34</v>
      </c>
    </row>
    <row r="77" spans="1:6" x14ac:dyDescent="0.25">
      <c r="A77" t="s">
        <v>35</v>
      </c>
    </row>
    <row r="78" spans="1:6" x14ac:dyDescent="0.25">
      <c r="A78" t="s">
        <v>36</v>
      </c>
    </row>
    <row r="79" spans="1:6" x14ac:dyDescent="0.25">
      <c r="A79" t="s">
        <v>37</v>
      </c>
    </row>
    <row r="81" spans="1:1" x14ac:dyDescent="0.25">
      <c r="A81" t="s">
        <v>39</v>
      </c>
    </row>
    <row r="82" spans="1:1" x14ac:dyDescent="0.25">
      <c r="A82" t="s">
        <v>40</v>
      </c>
    </row>
    <row r="83" spans="1:1" x14ac:dyDescent="0.25">
      <c r="A83" t="s">
        <v>42</v>
      </c>
    </row>
    <row r="84" spans="1:1" x14ac:dyDescent="0.25">
      <c r="A84" t="s">
        <v>41</v>
      </c>
    </row>
    <row r="85" spans="1:1" x14ac:dyDescent="0.25">
      <c r="A85" t="s">
        <v>43</v>
      </c>
    </row>
    <row r="86" spans="1:1" x14ac:dyDescent="0.25">
      <c r="A86" t="s">
        <v>44</v>
      </c>
    </row>
    <row r="88" spans="1:1" x14ac:dyDescent="0.25">
      <c r="A88" t="s">
        <v>48</v>
      </c>
    </row>
    <row r="89" spans="1:1" x14ac:dyDescent="0.25">
      <c r="A89" t="s">
        <v>40</v>
      </c>
    </row>
    <row r="90" spans="1:1" x14ac:dyDescent="0.25">
      <c r="A90" t="s">
        <v>42</v>
      </c>
    </row>
    <row r="91" spans="1:1" x14ac:dyDescent="0.25">
      <c r="A91" t="s">
        <v>45</v>
      </c>
    </row>
    <row r="92" spans="1:1" x14ac:dyDescent="0.25">
      <c r="A92" t="s">
        <v>46</v>
      </c>
    </row>
    <row r="93" spans="1:1" x14ac:dyDescent="0.25">
      <c r="A93" t="s">
        <v>47</v>
      </c>
    </row>
    <row r="96" spans="1:1" x14ac:dyDescent="0.25">
      <c r="A96" t="s">
        <v>49</v>
      </c>
    </row>
    <row r="97" spans="1:7" x14ac:dyDescent="0.25">
      <c r="A97" t="s">
        <v>50</v>
      </c>
    </row>
    <row r="98" spans="1:7" x14ac:dyDescent="0.25">
      <c r="A98" t="s">
        <v>42</v>
      </c>
    </row>
    <row r="99" spans="1:7" x14ac:dyDescent="0.25">
      <c r="A99" t="s">
        <v>51</v>
      </c>
    </row>
    <row r="100" spans="1:7" x14ac:dyDescent="0.25">
      <c r="A100" t="s">
        <v>52</v>
      </c>
    </row>
    <row r="101" spans="1:7" x14ac:dyDescent="0.25">
      <c r="A101" t="s">
        <v>53</v>
      </c>
    </row>
    <row r="102" spans="1:7" x14ac:dyDescent="0.25">
      <c r="A102" t="s">
        <v>54</v>
      </c>
    </row>
    <row r="103" spans="1:7" x14ac:dyDescent="0.25">
      <c r="A103" t="s">
        <v>55</v>
      </c>
    </row>
    <row r="104" spans="1:7" x14ac:dyDescent="0.25">
      <c r="A104" t="s">
        <v>56</v>
      </c>
    </row>
    <row r="106" spans="1:7" x14ac:dyDescent="0.25">
      <c r="A106" t="s">
        <v>57</v>
      </c>
    </row>
    <row r="108" spans="1:7" x14ac:dyDescent="0.25">
      <c r="A108" t="s">
        <v>58</v>
      </c>
    </row>
    <row r="109" spans="1:7" x14ac:dyDescent="0.25">
      <c r="A109" t="s">
        <v>59</v>
      </c>
    </row>
    <row r="110" spans="1:7" x14ac:dyDescent="0.25">
      <c r="A110" t="s">
        <v>62</v>
      </c>
    </row>
    <row r="111" spans="1:7" x14ac:dyDescent="0.25">
      <c r="A111" t="s">
        <v>60</v>
      </c>
    </row>
    <row r="112" spans="1:7" x14ac:dyDescent="0.25">
      <c r="A112" t="s">
        <v>61</v>
      </c>
      <c r="D112" t="s">
        <v>63</v>
      </c>
      <c r="F112" s="4">
        <f>451+0.15*175</f>
        <v>477.25</v>
      </c>
      <c r="G112" t="s">
        <v>18</v>
      </c>
    </row>
    <row r="113" spans="1:7" x14ac:dyDescent="0.25">
      <c r="A113" t="s">
        <v>39</v>
      </c>
      <c r="D113" t="s">
        <v>64</v>
      </c>
      <c r="F113" s="4">
        <f>631+0.15*175</f>
        <v>657.25</v>
      </c>
      <c r="G113" t="s">
        <v>18</v>
      </c>
    </row>
    <row r="114" spans="1:7" x14ac:dyDescent="0.25">
      <c r="A114" t="s">
        <v>48</v>
      </c>
      <c r="D114" t="s">
        <v>64</v>
      </c>
      <c r="F114" s="4">
        <f>631+0.15*175</f>
        <v>657.25</v>
      </c>
      <c r="G114" t="s">
        <v>18</v>
      </c>
    </row>
    <row r="115" spans="1:7" x14ac:dyDescent="0.25">
      <c r="A115" t="s">
        <v>49</v>
      </c>
      <c r="D115" t="s">
        <v>65</v>
      </c>
      <c r="F115" s="4">
        <f>631+0.15*250</f>
        <v>668.5</v>
      </c>
      <c r="G115" t="s">
        <v>18</v>
      </c>
    </row>
    <row r="117" spans="1:7" x14ac:dyDescent="0.25">
      <c r="A117" t="s">
        <v>66</v>
      </c>
    </row>
    <row r="118" spans="1:7" x14ac:dyDescent="0.25">
      <c r="A118" t="s">
        <v>67</v>
      </c>
    </row>
    <row r="119" spans="1:7" x14ac:dyDescent="0.25">
      <c r="A119" t="s">
        <v>68</v>
      </c>
    </row>
    <row r="120" spans="1:7" x14ac:dyDescent="0.25">
      <c r="A120" t="s">
        <v>69</v>
      </c>
    </row>
    <row r="121" spans="1:7" x14ac:dyDescent="0.25">
      <c r="A121" t="s">
        <v>70</v>
      </c>
    </row>
    <row r="122" spans="1:7" x14ac:dyDescent="0.25">
      <c r="A122" t="s">
        <v>71</v>
      </c>
    </row>
    <row r="123" spans="1:7" x14ac:dyDescent="0.25">
      <c r="A123" t="s">
        <v>72</v>
      </c>
    </row>
    <row r="124" spans="1:7" x14ac:dyDescent="0.25">
      <c r="A124" t="s">
        <v>73</v>
      </c>
    </row>
    <row r="125" spans="1:7" x14ac:dyDescent="0.25">
      <c r="A125" t="s">
        <v>74</v>
      </c>
    </row>
    <row r="126" spans="1:7" x14ac:dyDescent="0.25">
      <c r="A126" t="s">
        <v>75</v>
      </c>
    </row>
    <row r="127" spans="1:7" x14ac:dyDescent="0.25">
      <c r="A127" t="s">
        <v>76</v>
      </c>
      <c r="F127" s="4">
        <f>1*2.4*0.3/6</f>
        <v>0.12</v>
      </c>
    </row>
    <row r="128" spans="1:7" x14ac:dyDescent="0.25">
      <c r="A128" t="s">
        <v>77</v>
      </c>
      <c r="F128" s="4">
        <v>0.91</v>
      </c>
    </row>
    <row r="129" spans="1:7" x14ac:dyDescent="0.25">
      <c r="A129" t="s">
        <v>78</v>
      </c>
      <c r="C129" s="4">
        <f>0.91*0.12</f>
        <v>0.10920000000000001</v>
      </c>
    </row>
    <row r="130" spans="1:7" x14ac:dyDescent="0.25">
      <c r="A130" t="s">
        <v>88</v>
      </c>
      <c r="C130" s="4">
        <f>25*21.5</f>
        <v>537.5</v>
      </c>
      <c r="D130" s="4" t="s">
        <v>89</v>
      </c>
    </row>
    <row r="131" spans="1:7" x14ac:dyDescent="0.25">
      <c r="A131" s="4" t="s">
        <v>80</v>
      </c>
      <c r="B131" s="4" t="s">
        <v>79</v>
      </c>
      <c r="C131" s="4" t="s">
        <v>84</v>
      </c>
      <c r="D131" s="4" t="s">
        <v>85</v>
      </c>
      <c r="E131" s="4" t="s">
        <v>86</v>
      </c>
      <c r="F131" s="4" t="s">
        <v>87</v>
      </c>
      <c r="G131" s="4"/>
    </row>
    <row r="132" spans="1:7" x14ac:dyDescent="0.25">
      <c r="A132" s="4" t="s">
        <v>38</v>
      </c>
      <c r="B132" s="7">
        <f>F112*C130</f>
        <v>256521.875</v>
      </c>
      <c r="C132" s="4">
        <v>12</v>
      </c>
      <c r="D132" s="7">
        <f>B132*C132</f>
        <v>3078262.5</v>
      </c>
      <c r="E132" s="7">
        <f>D132/D137</f>
        <v>0.32555958217863995</v>
      </c>
      <c r="F132" s="7">
        <f>E132*D138</f>
        <v>47012.227582818159</v>
      </c>
      <c r="G132" s="4"/>
    </row>
    <row r="133" spans="1:7" x14ac:dyDescent="0.25">
      <c r="A133" s="4" t="s">
        <v>81</v>
      </c>
      <c r="B133" s="7">
        <f>F113*C130</f>
        <v>353271.875</v>
      </c>
      <c r="C133" s="4">
        <v>9</v>
      </c>
      <c r="D133" s="7">
        <f t="shared" ref="D133:D135" si="0">B133*C133</f>
        <v>3179446.875</v>
      </c>
      <c r="E133" s="7">
        <f>D133/D137</f>
        <v>0.3362609251758687</v>
      </c>
      <c r="F133" s="7">
        <f>E133*D138</f>
        <v>48557.548316616929</v>
      </c>
      <c r="G133" s="4"/>
    </row>
    <row r="134" spans="1:7" x14ac:dyDescent="0.25">
      <c r="A134" s="4" t="s">
        <v>82</v>
      </c>
      <c r="B134" s="7">
        <f>F114*C130</f>
        <v>353271.875</v>
      </c>
      <c r="C134" s="4">
        <v>6</v>
      </c>
      <c r="D134" s="7">
        <f t="shared" si="0"/>
        <v>2119631.25</v>
      </c>
      <c r="E134" s="7">
        <f>D134/D137</f>
        <v>0.22417395011724578</v>
      </c>
      <c r="F134" s="7">
        <f>E134*D138</f>
        <v>32371.698877744617</v>
      </c>
      <c r="G134" s="4"/>
    </row>
    <row r="135" spans="1:7" x14ac:dyDescent="0.25">
      <c r="A135" s="4" t="s">
        <v>83</v>
      </c>
      <c r="B135" s="7">
        <f>F115*C130</f>
        <v>359318.75</v>
      </c>
      <c r="C135" s="4">
        <v>3</v>
      </c>
      <c r="D135" s="7">
        <f t="shared" si="0"/>
        <v>1077956.25</v>
      </c>
      <c r="E135" s="7">
        <f>D135/D137</f>
        <v>0.11400554252824557</v>
      </c>
      <c r="F135" s="7">
        <f>E135*D138</f>
        <v>16462.898972820294</v>
      </c>
      <c r="G135" s="4"/>
    </row>
    <row r="136" spans="1:7" x14ac:dyDescent="0.25">
      <c r="A136" s="4"/>
      <c r="B136" s="7"/>
      <c r="C136" s="4"/>
      <c r="D136" s="7"/>
      <c r="E136" s="7"/>
      <c r="F136" s="7"/>
      <c r="G136" s="4"/>
    </row>
    <row r="137" spans="1:7" x14ac:dyDescent="0.25">
      <c r="A137" s="4" t="s">
        <v>92</v>
      </c>
      <c r="B137" s="8">
        <f>SUM(B132:B135)</f>
        <v>1322384.375</v>
      </c>
      <c r="D137" s="8">
        <f>SUM(D132:D135)</f>
        <v>9455296.875</v>
      </c>
      <c r="E137" s="7">
        <f>SUM(E132:E135)</f>
        <v>1</v>
      </c>
      <c r="F137" s="8">
        <f>SUM(F132:F135)</f>
        <v>144404.37375</v>
      </c>
    </row>
    <row r="138" spans="1:7" x14ac:dyDescent="0.25">
      <c r="A138" s="4" t="s">
        <v>90</v>
      </c>
      <c r="B138" t="s">
        <v>91</v>
      </c>
      <c r="D138" s="7">
        <f>C129*B137</f>
        <v>144404.37375</v>
      </c>
    </row>
    <row r="140" spans="1:7" x14ac:dyDescent="0.25">
      <c r="A140" s="9" t="s">
        <v>93</v>
      </c>
    </row>
    <row r="141" spans="1:7" x14ac:dyDescent="0.25">
      <c r="A141" s="9" t="s">
        <v>94</v>
      </c>
    </row>
    <row r="142" spans="1:7" x14ac:dyDescent="0.25">
      <c r="A142" t="s">
        <v>95</v>
      </c>
    </row>
    <row r="143" spans="1:7" x14ac:dyDescent="0.25">
      <c r="A143" t="s">
        <v>96</v>
      </c>
    </row>
    <row r="144" spans="1:7" x14ac:dyDescent="0.25">
      <c r="A144" t="s">
        <v>97</v>
      </c>
    </row>
    <row r="145" spans="1:7" x14ac:dyDescent="0.25">
      <c r="A145" t="s">
        <v>98</v>
      </c>
    </row>
    <row r="146" spans="1:7" x14ac:dyDescent="0.25">
      <c r="A146" t="s">
        <v>101</v>
      </c>
    </row>
    <row r="147" spans="1:7" x14ac:dyDescent="0.25">
      <c r="A147" t="s">
        <v>102</v>
      </c>
      <c r="E147" t="s">
        <v>103</v>
      </c>
      <c r="G147" s="4">
        <f>30*40*40*40/12</f>
        <v>160000</v>
      </c>
    </row>
    <row r="148" spans="1:7" x14ac:dyDescent="0.25">
      <c r="A148" t="s">
        <v>109</v>
      </c>
      <c r="B148" s="7">
        <f>G147/450</f>
        <v>355.55555555555554</v>
      </c>
      <c r="C148" t="s">
        <v>113</v>
      </c>
      <c r="D148" s="7">
        <f>B148</f>
        <v>355.55555555555554</v>
      </c>
      <c r="E148" t="s">
        <v>117</v>
      </c>
      <c r="F148" s="7">
        <f>D148</f>
        <v>355.55555555555554</v>
      </c>
    </row>
    <row r="149" spans="1:7" x14ac:dyDescent="0.25">
      <c r="A149" t="s">
        <v>110</v>
      </c>
      <c r="B149" s="7">
        <f>G147/600</f>
        <v>266.66666666666669</v>
      </c>
      <c r="C149" t="s">
        <v>114</v>
      </c>
      <c r="D149" s="7">
        <f t="shared" ref="D149:D151" si="1">B149</f>
        <v>266.66666666666669</v>
      </c>
      <c r="E149" t="s">
        <v>118</v>
      </c>
      <c r="F149" s="7">
        <f t="shared" ref="F149:F151" si="2">D149</f>
        <v>266.66666666666669</v>
      </c>
    </row>
    <row r="150" spans="1:7" x14ac:dyDescent="0.25">
      <c r="A150" t="s">
        <v>111</v>
      </c>
      <c r="B150" s="7">
        <f>B149</f>
        <v>266.66666666666669</v>
      </c>
      <c r="C150" t="s">
        <v>115</v>
      </c>
      <c r="D150" s="7">
        <f t="shared" si="1"/>
        <v>266.66666666666669</v>
      </c>
      <c r="E150" t="s">
        <v>119</v>
      </c>
      <c r="F150" s="7">
        <f t="shared" si="2"/>
        <v>266.66666666666669</v>
      </c>
    </row>
    <row r="151" spans="1:7" x14ac:dyDescent="0.25">
      <c r="A151" t="s">
        <v>112</v>
      </c>
      <c r="B151" s="7">
        <f>G147/500</f>
        <v>320</v>
      </c>
      <c r="C151" t="s">
        <v>116</v>
      </c>
      <c r="D151" s="7">
        <f t="shared" si="1"/>
        <v>320</v>
      </c>
      <c r="E151" t="s">
        <v>120</v>
      </c>
      <c r="F151" s="7">
        <f t="shared" si="2"/>
        <v>320</v>
      </c>
    </row>
    <row r="152" spans="1:7" x14ac:dyDescent="0.25">
      <c r="B152" s="7"/>
    </row>
    <row r="153" spans="1:7" x14ac:dyDescent="0.25">
      <c r="A153" t="s">
        <v>121</v>
      </c>
      <c r="B153" s="7">
        <f>B148</f>
        <v>355.55555555555554</v>
      </c>
      <c r="C153" t="s">
        <v>125</v>
      </c>
      <c r="D153" s="7">
        <f>B153</f>
        <v>355.55555555555554</v>
      </c>
    </row>
    <row r="154" spans="1:7" x14ac:dyDescent="0.25">
      <c r="A154" t="s">
        <v>122</v>
      </c>
      <c r="B154" s="7">
        <f t="shared" ref="B154:B156" si="3">B149</f>
        <v>266.66666666666669</v>
      </c>
      <c r="C154" t="s">
        <v>126</v>
      </c>
      <c r="D154" s="7">
        <f t="shared" ref="D154:D156" si="4">B154</f>
        <v>266.66666666666669</v>
      </c>
    </row>
    <row r="155" spans="1:7" x14ac:dyDescent="0.25">
      <c r="A155" t="s">
        <v>123</v>
      </c>
      <c r="B155" s="7">
        <f t="shared" si="3"/>
        <v>266.66666666666669</v>
      </c>
      <c r="C155" t="s">
        <v>127</v>
      </c>
      <c r="D155" s="7">
        <f t="shared" si="4"/>
        <v>266.66666666666669</v>
      </c>
    </row>
    <row r="156" spans="1:7" x14ac:dyDescent="0.25">
      <c r="A156" t="s">
        <v>124</v>
      </c>
      <c r="B156" s="7">
        <f t="shared" si="3"/>
        <v>320</v>
      </c>
      <c r="C156" t="s">
        <v>128</v>
      </c>
      <c r="D156" s="7">
        <f t="shared" si="4"/>
        <v>320</v>
      </c>
    </row>
    <row r="157" spans="1:7" x14ac:dyDescent="0.25">
      <c r="B157" s="7"/>
    </row>
    <row r="158" spans="1:7" x14ac:dyDescent="0.25">
      <c r="A158" t="s">
        <v>129</v>
      </c>
      <c r="B158" s="4"/>
    </row>
    <row r="159" spans="1:7" x14ac:dyDescent="0.25">
      <c r="A159" t="s">
        <v>130</v>
      </c>
    </row>
    <row r="160" spans="1:7" x14ac:dyDescent="0.25">
      <c r="A160" t="s">
        <v>131</v>
      </c>
      <c r="B160" s="7">
        <f>G147/600</f>
        <v>266.66666666666669</v>
      </c>
      <c r="C160" t="s">
        <v>132</v>
      </c>
      <c r="D160" s="7">
        <f>B160</f>
        <v>266.66666666666669</v>
      </c>
      <c r="E160" t="s">
        <v>133</v>
      </c>
      <c r="F160" s="7">
        <f>D160</f>
        <v>266.66666666666669</v>
      </c>
    </row>
    <row r="161" spans="1:6" x14ac:dyDescent="0.25">
      <c r="A161" t="s">
        <v>137</v>
      </c>
      <c r="B161" s="7">
        <f>G147/500</f>
        <v>320</v>
      </c>
      <c r="C161" t="s">
        <v>134</v>
      </c>
      <c r="D161" s="7">
        <f t="shared" ref="D161:D163" si="5">B161</f>
        <v>320</v>
      </c>
      <c r="E161" t="s">
        <v>143</v>
      </c>
      <c r="F161" s="7">
        <f t="shared" ref="F161:F163" si="6">D161</f>
        <v>320</v>
      </c>
    </row>
    <row r="162" spans="1:6" x14ac:dyDescent="0.25">
      <c r="A162" t="s">
        <v>138</v>
      </c>
      <c r="B162" s="7">
        <f>G147/700</f>
        <v>228.57142857142858</v>
      </c>
      <c r="C162" t="s">
        <v>140</v>
      </c>
      <c r="D162" s="7">
        <f t="shared" si="5"/>
        <v>228.57142857142858</v>
      </c>
      <c r="E162" t="s">
        <v>135</v>
      </c>
      <c r="F162" s="7">
        <f t="shared" si="6"/>
        <v>228.57142857142858</v>
      </c>
    </row>
    <row r="163" spans="1:6" x14ac:dyDescent="0.25">
      <c r="A163" t="s">
        <v>139</v>
      </c>
      <c r="B163" s="7">
        <f>B161</f>
        <v>320</v>
      </c>
      <c r="C163" t="s">
        <v>141</v>
      </c>
      <c r="D163" s="7">
        <f t="shared" si="5"/>
        <v>320</v>
      </c>
      <c r="E163" t="s">
        <v>142</v>
      </c>
      <c r="F163" s="7">
        <f t="shared" si="6"/>
        <v>320</v>
      </c>
    </row>
    <row r="165" spans="1:6" x14ac:dyDescent="0.25">
      <c r="A165" t="s">
        <v>144</v>
      </c>
      <c r="B165" s="7">
        <f>B160</f>
        <v>266.66666666666669</v>
      </c>
      <c r="C165" t="s">
        <v>147</v>
      </c>
      <c r="D165" s="7">
        <f>B165</f>
        <v>266.66666666666669</v>
      </c>
    </row>
    <row r="166" spans="1:6" x14ac:dyDescent="0.25">
      <c r="A166" t="s">
        <v>145</v>
      </c>
      <c r="B166" s="7">
        <f t="shared" ref="B166:B168" si="7">B161</f>
        <v>320</v>
      </c>
      <c r="C166" t="s">
        <v>148</v>
      </c>
      <c r="D166" s="7">
        <f t="shared" ref="D166:D168" si="8">B166</f>
        <v>320</v>
      </c>
    </row>
    <row r="167" spans="1:6" x14ac:dyDescent="0.25">
      <c r="A167" t="s">
        <v>146</v>
      </c>
      <c r="B167" s="7">
        <f t="shared" si="7"/>
        <v>228.57142857142858</v>
      </c>
      <c r="C167" t="s">
        <v>149</v>
      </c>
      <c r="D167" s="7">
        <f t="shared" si="8"/>
        <v>228.57142857142858</v>
      </c>
    </row>
    <row r="168" spans="1:6" x14ac:dyDescent="0.25">
      <c r="A168" t="s">
        <v>136</v>
      </c>
      <c r="B168" s="7">
        <f t="shared" si="7"/>
        <v>320</v>
      </c>
      <c r="C168" t="s">
        <v>150</v>
      </c>
      <c r="D168" s="7">
        <f t="shared" si="8"/>
        <v>320</v>
      </c>
    </row>
    <row r="170" spans="1:6" x14ac:dyDescent="0.25">
      <c r="A170" t="s">
        <v>151</v>
      </c>
    </row>
    <row r="171" spans="1:6" x14ac:dyDescent="0.25">
      <c r="B171" s="4" t="s">
        <v>152</v>
      </c>
      <c r="C171" s="4" t="s">
        <v>153</v>
      </c>
      <c r="D171" s="4" t="s">
        <v>159</v>
      </c>
      <c r="E171" s="4" t="s">
        <v>160</v>
      </c>
    </row>
    <row r="172" spans="1:6" x14ac:dyDescent="0.25">
      <c r="A172" t="s">
        <v>161</v>
      </c>
      <c r="B172" s="1"/>
      <c r="C172" s="1"/>
      <c r="D172" s="1"/>
      <c r="E172" s="1"/>
    </row>
    <row r="173" spans="1:6" x14ac:dyDescent="0.25">
      <c r="B173" s="2"/>
      <c r="C173" s="2"/>
      <c r="D173" s="2"/>
      <c r="E173" s="2"/>
    </row>
    <row r="174" spans="1:6" x14ac:dyDescent="0.25">
      <c r="B174" s="2" t="s">
        <v>154</v>
      </c>
      <c r="C174" s="2" t="s">
        <v>155</v>
      </c>
      <c r="D174" s="2" t="s">
        <v>156</v>
      </c>
      <c r="E174" s="2" t="s">
        <v>157</v>
      </c>
      <c r="F174" s="11" t="s">
        <v>158</v>
      </c>
    </row>
    <row r="176" spans="1:6" x14ac:dyDescent="0.25">
      <c r="B176" s="2"/>
      <c r="C176" s="2"/>
      <c r="D176" s="2"/>
      <c r="E176" s="2"/>
    </row>
    <row r="177" spans="1:6" x14ac:dyDescent="0.25">
      <c r="B177" s="2"/>
      <c r="C177" s="2"/>
      <c r="D177" s="2"/>
      <c r="E177" s="2"/>
    </row>
    <row r="178" spans="1:6" x14ac:dyDescent="0.25">
      <c r="B178" s="12" t="s">
        <v>152</v>
      </c>
      <c r="C178" s="12" t="s">
        <v>153</v>
      </c>
      <c r="D178" s="12" t="s">
        <v>159</v>
      </c>
      <c r="E178" s="12" t="s">
        <v>160</v>
      </c>
    </row>
    <row r="179" spans="1:6" x14ac:dyDescent="0.25">
      <c r="A179" t="s">
        <v>162</v>
      </c>
      <c r="B179" s="1"/>
      <c r="C179" s="1"/>
      <c r="D179" s="1"/>
      <c r="E179" s="1"/>
    </row>
    <row r="180" spans="1:6" x14ac:dyDescent="0.25">
      <c r="B180" s="2"/>
      <c r="C180" s="2"/>
      <c r="D180" s="2"/>
      <c r="E180" s="2"/>
    </row>
    <row r="181" spans="1:6" x14ac:dyDescent="0.25">
      <c r="B181" s="2"/>
      <c r="C181" s="2"/>
      <c r="D181" s="2"/>
      <c r="E181" s="2"/>
      <c r="F181" s="11"/>
    </row>
    <row r="183" spans="1:6" x14ac:dyDescent="0.25">
      <c r="B183" s="2"/>
      <c r="C183" s="2"/>
      <c r="D183" s="2"/>
      <c r="E183" s="2"/>
    </row>
    <row r="184" spans="1:6" x14ac:dyDescent="0.25">
      <c r="B184" s="2"/>
      <c r="C184" s="2"/>
      <c r="D184" s="2"/>
      <c r="E184" s="2"/>
    </row>
    <row r="185" spans="1:6" x14ac:dyDescent="0.25">
      <c r="B185" s="12" t="s">
        <v>152</v>
      </c>
      <c r="C185" s="12" t="s">
        <v>153</v>
      </c>
      <c r="D185" s="12" t="s">
        <v>159</v>
      </c>
      <c r="E185" s="12" t="s">
        <v>160</v>
      </c>
    </row>
    <row r="186" spans="1:6" x14ac:dyDescent="0.25">
      <c r="A186" t="s">
        <v>163</v>
      </c>
      <c r="B186" s="1"/>
      <c r="C186" s="1"/>
      <c r="D186" s="1"/>
      <c r="E186" s="1"/>
    </row>
    <row r="187" spans="1:6" x14ac:dyDescent="0.25">
      <c r="B187" s="2"/>
      <c r="C187" s="2"/>
      <c r="D187" s="2"/>
      <c r="E187" s="2"/>
    </row>
    <row r="188" spans="1:6" x14ac:dyDescent="0.25">
      <c r="B188" s="2"/>
      <c r="C188" s="2"/>
      <c r="D188" s="2"/>
      <c r="E188" s="2"/>
    </row>
    <row r="190" spans="1:6" x14ac:dyDescent="0.25">
      <c r="B190" s="2"/>
      <c r="C190" s="2"/>
      <c r="D190" s="2"/>
      <c r="E190" s="2"/>
    </row>
    <row r="191" spans="1:6" x14ac:dyDescent="0.25">
      <c r="B191" s="2"/>
      <c r="C191" s="2"/>
      <c r="D191" s="2"/>
      <c r="E191" s="2"/>
    </row>
    <row r="192" spans="1:6" x14ac:dyDescent="0.25">
      <c r="B192" s="12" t="s">
        <v>152</v>
      </c>
      <c r="C192" s="12" t="s">
        <v>153</v>
      </c>
      <c r="D192" s="12" t="s">
        <v>159</v>
      </c>
      <c r="E192" s="12" t="s">
        <v>160</v>
      </c>
    </row>
    <row r="193" spans="1:6" x14ac:dyDescent="0.25">
      <c r="A193" t="s">
        <v>164</v>
      </c>
      <c r="B193" s="1"/>
      <c r="C193" s="1"/>
      <c r="D193" s="1"/>
      <c r="E193" s="1"/>
    </row>
    <row r="194" spans="1:6" x14ac:dyDescent="0.25">
      <c r="B194" s="2"/>
      <c r="C194" s="2"/>
      <c r="D194" s="2"/>
      <c r="E194" s="2"/>
    </row>
    <row r="195" spans="1:6" x14ac:dyDescent="0.25">
      <c r="B195" s="2"/>
      <c r="C195" s="2"/>
      <c r="D195" s="2"/>
      <c r="E195" s="2"/>
    </row>
    <row r="196" spans="1:6" x14ac:dyDescent="0.25">
      <c r="A196" s="13"/>
      <c r="B196" s="14"/>
      <c r="C196" s="14"/>
      <c r="D196" s="14"/>
      <c r="E196" s="14"/>
      <c r="F196" s="1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Anny Bohorquez</dc:creator>
  <cp:lastModifiedBy>Ale</cp:lastModifiedBy>
  <cp:lastPrinted>2026-06-10T19:48:27Z</cp:lastPrinted>
  <dcterms:created xsi:type="dcterms:W3CDTF">2026-06-09T14:53:41Z</dcterms:created>
  <dcterms:modified xsi:type="dcterms:W3CDTF">2026-08-04T22:03:36Z</dcterms:modified>
</cp:coreProperties>
</file>